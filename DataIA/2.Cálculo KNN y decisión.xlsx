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wwda\Documents\Practica-EDA\DataIA\"/>
    </mc:Choice>
  </mc:AlternateContent>
  <xr:revisionPtr revIDLastSave="0" documentId="13_ncr:1_{E2EF9D2F-AE8C-49FE-BF23-EF6CC5170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B46" i="1"/>
  <c r="F46" i="1" l="1"/>
  <c r="B14" i="1"/>
  <c r="E39" i="1"/>
  <c r="E40" i="1"/>
  <c r="E41" i="1"/>
  <c r="E42" i="1"/>
  <c r="E38" i="1"/>
  <c r="D39" i="1"/>
  <c r="D40" i="1"/>
  <c r="D41" i="1"/>
  <c r="D42" i="1"/>
  <c r="D38" i="1"/>
  <c r="C39" i="1"/>
  <c r="C40" i="1"/>
  <c r="C41" i="1"/>
  <c r="C42" i="1"/>
  <c r="C38" i="1"/>
  <c r="B39" i="1"/>
  <c r="B40" i="1"/>
  <c r="B41" i="1"/>
  <c r="B42" i="1"/>
  <c r="B38" i="1"/>
  <c r="E33" i="1"/>
  <c r="E34" i="1"/>
  <c r="E35" i="1"/>
  <c r="E36" i="1"/>
  <c r="E32" i="1"/>
  <c r="D33" i="1"/>
  <c r="D34" i="1"/>
  <c r="D35" i="1"/>
  <c r="D36" i="1"/>
  <c r="D32" i="1"/>
  <c r="C33" i="1"/>
  <c r="C34" i="1"/>
  <c r="C35" i="1"/>
  <c r="C36" i="1"/>
  <c r="C32" i="1"/>
  <c r="B33" i="1"/>
  <c r="B34" i="1"/>
  <c r="B35" i="1"/>
  <c r="B36" i="1"/>
  <c r="B32" i="1"/>
  <c r="B47" i="1"/>
  <c r="E47" i="1" s="1"/>
  <c r="F47" i="1" s="1"/>
  <c r="E21" i="1"/>
  <c r="E23" i="1"/>
  <c r="D21" i="1"/>
  <c r="D22" i="1"/>
  <c r="D23" i="1"/>
  <c r="D24" i="1"/>
  <c r="D20" i="1"/>
  <c r="C20" i="1"/>
  <c r="C21" i="1"/>
  <c r="C22" i="1"/>
  <c r="C23" i="1"/>
  <c r="C24" i="1"/>
  <c r="B20" i="1"/>
  <c r="E20" i="1" s="1"/>
  <c r="B21" i="1"/>
  <c r="B22" i="1"/>
  <c r="E22" i="1" s="1"/>
  <c r="B23" i="1"/>
  <c r="B24" i="1"/>
  <c r="E24" i="1" s="1"/>
  <c r="E16" i="1"/>
  <c r="D15" i="1"/>
  <c r="D16" i="1"/>
  <c r="D17" i="1"/>
  <c r="D18" i="1"/>
  <c r="D14" i="1"/>
  <c r="C15" i="1"/>
  <c r="E15" i="1" s="1"/>
  <c r="C16" i="1"/>
  <c r="C17" i="1"/>
  <c r="C18" i="1"/>
  <c r="C14" i="1"/>
  <c r="B15" i="1"/>
  <c r="B16" i="1"/>
  <c r="B17" i="1"/>
  <c r="E17" i="1" s="1"/>
  <c r="B18" i="1"/>
  <c r="E18" i="1" s="1"/>
  <c r="E14" i="1"/>
  <c r="E10" i="1"/>
  <c r="E11" i="1" s="1"/>
  <c r="G46" i="1" l="1"/>
  <c r="H46" i="1" s="1"/>
</calcChain>
</file>

<file path=xl/sharedStrings.xml><?xml version="1.0" encoding="utf-8"?>
<sst xmlns="http://schemas.openxmlformats.org/spreadsheetml/2006/main" count="58" uniqueCount="41">
  <si>
    <t>2. Identificar los K vecinos</t>
  </si>
  <si>
    <t>k=3</t>
  </si>
  <si>
    <t>1. Calcular distancias con euclidea</t>
  </si>
  <si>
    <t xml:space="preserve">1. Calcular distancias con Manhattan </t>
  </si>
  <si>
    <t>Manhattan</t>
  </si>
  <si>
    <t>Euclidea</t>
  </si>
  <si>
    <t>c1</t>
  </si>
  <si>
    <t>c2</t>
  </si>
  <si>
    <t>c3</t>
  </si>
  <si>
    <t>c4</t>
  </si>
  <si>
    <t>c5</t>
  </si>
  <si>
    <t>c6</t>
  </si>
  <si>
    <t>c7</t>
  </si>
  <si>
    <t>ID Casa</t>
  </si>
  <si>
    <t># Dormitorios</t>
  </si>
  <si>
    <t>Área Terreno (m²)</t>
  </si>
  <si>
    <t>Área Total (m²)</t>
  </si>
  <si>
    <t>Costo (USD)</t>
  </si>
  <si>
    <t>4. Calcular RMSE</t>
  </si>
  <si>
    <t>Train</t>
  </si>
  <si>
    <t>Test</t>
  </si>
  <si>
    <t>3. Calcular predicción costo c1 y c2</t>
  </si>
  <si>
    <t>4. Calcular RMSE: 9629.2378</t>
  </si>
  <si>
    <t>media costo:</t>
  </si>
  <si>
    <t>c1:c3</t>
  </si>
  <si>
    <t>c1:c4</t>
  </si>
  <si>
    <t>c1:c5</t>
  </si>
  <si>
    <t>c1:c6</t>
  </si>
  <si>
    <t>c1:c7</t>
  </si>
  <si>
    <t>c2:c3</t>
  </si>
  <si>
    <t>c2:c4</t>
  </si>
  <si>
    <t>c2:c5</t>
  </si>
  <si>
    <t>c2:c6</t>
  </si>
  <si>
    <t>c2:c7</t>
  </si>
  <si>
    <t>Prediccion del costo</t>
  </si>
  <si>
    <t>Calcular RMSE</t>
  </si>
  <si>
    <t>Calcular el error c1</t>
  </si>
  <si>
    <t>Calcular el error c2</t>
  </si>
  <si>
    <t>Elevar al cuadrado</t>
  </si>
  <si>
    <t>Media de los errores al cuadrado (MSE)</t>
  </si>
  <si>
    <t>Sacar la raiz cuadrada (RMSE)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</si>
</sst>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2" xfId="0" applyBorder="1"/>
    <xf numFmtId="3" fontId="0" fillId="0" borderId="1" xfId="0" applyNumberFormat="1" applyBorder="1"/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 wrapText="1"/>
    </xf>
    <xf numFmtId="2" fontId="0" fillId="0" borderId="1" xfId="0" applyNumberFormat="1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</xdr:colOff>
      <xdr:row>1</xdr:row>
      <xdr:rowOff>15240</xdr:rowOff>
    </xdr:from>
    <xdr:to>
      <xdr:col>20</xdr:col>
      <xdr:colOff>160456</xdr:colOff>
      <xdr:row>11</xdr:row>
      <xdr:rowOff>7778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355B23-C335-DA2A-BE35-C701555F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4720" y="563880"/>
          <a:ext cx="5029636" cy="1821338"/>
        </a:xfrm>
        <a:prstGeom prst="rect">
          <a:avLst/>
        </a:prstGeom>
      </xdr:spPr>
    </xdr:pic>
    <xdr:clientData/>
  </xdr:twoCellAnchor>
  <xdr:twoCellAnchor editAs="oneCell">
    <xdr:from>
      <xdr:col>12</xdr:col>
      <xdr:colOff>129540</xdr:colOff>
      <xdr:row>12</xdr:row>
      <xdr:rowOff>7620</xdr:rowOff>
    </xdr:from>
    <xdr:to>
      <xdr:col>20</xdr:col>
      <xdr:colOff>328100</xdr:colOff>
      <xdr:row>21</xdr:row>
      <xdr:rowOff>167797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CBA6E5-0CF3-6768-2E8F-BEB4447C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6640" y="2567940"/>
          <a:ext cx="5075360" cy="180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3" workbookViewId="0">
      <selection activeCell="G37" sqref="G37"/>
    </sheetView>
  </sheetViews>
  <sheetFormatPr baseColWidth="10" defaultColWidth="8.85546875" defaultRowHeight="15" x14ac:dyDescent="0.25"/>
  <cols>
    <col min="1" max="1" width="18.85546875" bestFit="1" customWidth="1"/>
    <col min="2" max="2" width="14.7109375" customWidth="1"/>
    <col min="3" max="3" width="18.85546875" customWidth="1"/>
    <col min="4" max="4" width="17.42578125" bestFit="1" customWidth="1"/>
    <col min="5" max="5" width="14.7109375" customWidth="1"/>
    <col min="6" max="6" width="17.140625" bestFit="1" customWidth="1"/>
    <col min="7" max="7" width="35.85546875" bestFit="1" customWidth="1"/>
    <col min="8" max="8" width="33.7109375" bestFit="1" customWidth="1"/>
  </cols>
  <sheetData>
    <row r="1" spans="1:12" ht="21.6" customHeigh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12" x14ac:dyDescent="0.25">
      <c r="A2" s="3" t="s">
        <v>6</v>
      </c>
      <c r="B2" s="3">
        <v>2</v>
      </c>
      <c r="C2" s="3">
        <v>150</v>
      </c>
      <c r="D2" s="3">
        <v>250</v>
      </c>
      <c r="E2" s="14">
        <v>60000</v>
      </c>
      <c r="H2" t="s">
        <v>2</v>
      </c>
      <c r="L2" s="1" t="s">
        <v>5</v>
      </c>
    </row>
    <row r="3" spans="1:12" x14ac:dyDescent="0.25">
      <c r="A3" s="3" t="s">
        <v>7</v>
      </c>
      <c r="B3" s="3">
        <v>3</v>
      </c>
      <c r="C3" s="3">
        <v>180</v>
      </c>
      <c r="D3" s="3">
        <v>300</v>
      </c>
      <c r="E3" s="14">
        <v>75000</v>
      </c>
      <c r="H3" t="s">
        <v>0</v>
      </c>
      <c r="K3" t="s">
        <v>1</v>
      </c>
    </row>
    <row r="4" spans="1:12" x14ac:dyDescent="0.25">
      <c r="A4" s="4" t="s">
        <v>8</v>
      </c>
      <c r="B4" s="4">
        <v>4</v>
      </c>
      <c r="C4" s="4">
        <v>200</v>
      </c>
      <c r="D4" s="4">
        <v>320</v>
      </c>
      <c r="E4" s="15">
        <v>90000</v>
      </c>
      <c r="H4" t="s">
        <v>21</v>
      </c>
    </row>
    <row r="5" spans="1:12" x14ac:dyDescent="0.25">
      <c r="A5" s="4" t="s">
        <v>9</v>
      </c>
      <c r="B5" s="4">
        <v>2</v>
      </c>
      <c r="C5" s="4">
        <v>140</v>
      </c>
      <c r="D5" s="4">
        <v>240</v>
      </c>
      <c r="E5" s="16">
        <v>58000</v>
      </c>
      <c r="H5" t="s">
        <v>22</v>
      </c>
    </row>
    <row r="6" spans="1:12" x14ac:dyDescent="0.25">
      <c r="A6" s="4" t="s">
        <v>10</v>
      </c>
      <c r="B6" s="4">
        <v>3</v>
      </c>
      <c r="C6" s="4">
        <v>170</v>
      </c>
      <c r="D6" s="4">
        <v>290</v>
      </c>
      <c r="E6" s="16">
        <v>70000</v>
      </c>
    </row>
    <row r="7" spans="1:12" x14ac:dyDescent="0.25">
      <c r="A7" s="4" t="s">
        <v>11</v>
      </c>
      <c r="B7" s="4">
        <v>3</v>
      </c>
      <c r="C7" s="4">
        <v>210</v>
      </c>
      <c r="D7" s="4">
        <v>350</v>
      </c>
      <c r="E7" s="16">
        <v>80000</v>
      </c>
      <c r="H7" t="s">
        <v>3</v>
      </c>
    </row>
    <row r="8" spans="1:12" x14ac:dyDescent="0.25">
      <c r="A8" s="4" t="s">
        <v>12</v>
      </c>
      <c r="B8" s="4">
        <v>4</v>
      </c>
      <c r="C8" s="4">
        <v>230</v>
      </c>
      <c r="D8" s="4">
        <v>380</v>
      </c>
      <c r="E8" s="16">
        <v>95000</v>
      </c>
      <c r="H8" t="s">
        <v>0</v>
      </c>
      <c r="K8" t="s">
        <v>1</v>
      </c>
    </row>
    <row r="9" spans="1:12" x14ac:dyDescent="0.25">
      <c r="H9" t="s">
        <v>21</v>
      </c>
    </row>
    <row r="10" spans="1:12" x14ac:dyDescent="0.25">
      <c r="A10" s="5" t="s">
        <v>19</v>
      </c>
      <c r="D10" s="8" t="s">
        <v>23</v>
      </c>
      <c r="E10" s="7">
        <f>AVERAGE(E4:E8)</f>
        <v>78600</v>
      </c>
      <c r="H10" t="s">
        <v>18</v>
      </c>
    </row>
    <row r="11" spans="1:12" x14ac:dyDescent="0.25">
      <c r="A11" s="6" t="s">
        <v>20</v>
      </c>
      <c r="D11" s="9">
        <v>0.1</v>
      </c>
      <c r="E11">
        <f>E10/10</f>
        <v>7860</v>
      </c>
    </row>
    <row r="13" spans="1:12" x14ac:dyDescent="0.25">
      <c r="A13" s="10" t="s">
        <v>5</v>
      </c>
      <c r="L13" s="1" t="s">
        <v>4</v>
      </c>
    </row>
    <row r="14" spans="1:12" x14ac:dyDescent="0.25">
      <c r="A14" s="10" t="s">
        <v>24</v>
      </c>
      <c r="B14" s="10">
        <f>($B$2-B4)^2</f>
        <v>4</v>
      </c>
      <c r="C14" s="10">
        <f>($C$2-C4)^2</f>
        <v>2500</v>
      </c>
      <c r="D14" s="10">
        <f>($D$2-D4)^2</f>
        <v>4900</v>
      </c>
      <c r="E14" s="10">
        <f>SQRT(SUM(B14:D14))</f>
        <v>86.046499057195817</v>
      </c>
    </row>
    <row r="15" spans="1:12" x14ac:dyDescent="0.25">
      <c r="A15" s="10" t="s">
        <v>25</v>
      </c>
      <c r="B15" s="10">
        <f>($B$2-B5)^2</f>
        <v>0</v>
      </c>
      <c r="C15" s="10">
        <f>($C$2-C5)^2</f>
        <v>100</v>
      </c>
      <c r="D15" s="10">
        <f>($D$2-D5)^2</f>
        <v>100</v>
      </c>
      <c r="E15" s="10">
        <f>SQRT(SUM(B15:D15))</f>
        <v>14.142135623730951</v>
      </c>
    </row>
    <row r="16" spans="1:12" x14ac:dyDescent="0.25">
      <c r="A16" s="10" t="s">
        <v>26</v>
      </c>
      <c r="B16" s="10">
        <f>($B$2-B6)^2</f>
        <v>1</v>
      </c>
      <c r="C16" s="10">
        <f>($C$2-C6)^2</f>
        <v>400</v>
      </c>
      <c r="D16" s="10">
        <f>($D$2-D6)^2</f>
        <v>1600</v>
      </c>
      <c r="E16" s="10">
        <f>SQRT(SUM(B16:D16))</f>
        <v>44.732538492690082</v>
      </c>
    </row>
    <row r="17" spans="1:5" x14ac:dyDescent="0.25">
      <c r="A17" s="10" t="s">
        <v>27</v>
      </c>
      <c r="B17" s="10">
        <f>($B$2-B7)^2</f>
        <v>1</v>
      </c>
      <c r="C17" s="10">
        <f>($C$2-C7)^2</f>
        <v>3600</v>
      </c>
      <c r="D17" s="10">
        <f>($D$2-D7)^2</f>
        <v>10000</v>
      </c>
      <c r="E17" s="10">
        <f>SQRT(SUM(B17:D17))</f>
        <v>116.62332528272378</v>
      </c>
    </row>
    <row r="18" spans="1:5" x14ac:dyDescent="0.25">
      <c r="A18" s="10" t="s">
        <v>28</v>
      </c>
      <c r="B18" s="10">
        <f>($B$2-B8)^2</f>
        <v>4</v>
      </c>
      <c r="C18" s="10">
        <f>($C$2-C8)^2</f>
        <v>6400</v>
      </c>
      <c r="D18" s="10">
        <f>($D$2-D8)^2</f>
        <v>16900</v>
      </c>
      <c r="E18" s="10">
        <f>SQRT(SUM(B18:D18))</f>
        <v>152.65647709809105</v>
      </c>
    </row>
    <row r="20" spans="1:5" x14ac:dyDescent="0.25">
      <c r="A20" s="10" t="s">
        <v>29</v>
      </c>
      <c r="B20" s="10">
        <f>($B$3-B4)^2</f>
        <v>1</v>
      </c>
      <c r="C20" s="10">
        <f>($C$3-C4)^2</f>
        <v>400</v>
      </c>
      <c r="D20" s="10">
        <f>($D$3-D4)^2</f>
        <v>400</v>
      </c>
      <c r="E20" s="10">
        <f>SQRT(SUM(B20:D20))</f>
        <v>28.301943396169811</v>
      </c>
    </row>
    <row r="21" spans="1:5" x14ac:dyDescent="0.25">
      <c r="A21" s="10" t="s">
        <v>30</v>
      </c>
      <c r="B21" s="10">
        <f t="shared" ref="B21:B24" si="0">($B$3-B5)^2</f>
        <v>1</v>
      </c>
      <c r="C21" s="10">
        <f t="shared" ref="C21:C24" si="1">($C$3-C5)^2</f>
        <v>1600</v>
      </c>
      <c r="D21" s="10">
        <f t="shared" ref="D21:D24" si="2">($D$3-D5)^2</f>
        <v>3600</v>
      </c>
      <c r="E21" s="10">
        <f t="shared" ref="E21:E24" si="3">SQRT(SUM(B21:D21))</f>
        <v>72.11795892841117</v>
      </c>
    </row>
    <row r="22" spans="1:5" x14ac:dyDescent="0.25">
      <c r="A22" s="10" t="s">
        <v>31</v>
      </c>
      <c r="B22" s="10">
        <f t="shared" si="0"/>
        <v>0</v>
      </c>
      <c r="C22" s="10">
        <f t="shared" si="1"/>
        <v>100</v>
      </c>
      <c r="D22" s="10">
        <f t="shared" si="2"/>
        <v>100</v>
      </c>
      <c r="E22" s="10">
        <f t="shared" si="3"/>
        <v>14.142135623730951</v>
      </c>
    </row>
    <row r="23" spans="1:5" x14ac:dyDescent="0.25">
      <c r="A23" s="10" t="s">
        <v>32</v>
      </c>
      <c r="B23" s="10">
        <f t="shared" si="0"/>
        <v>0</v>
      </c>
      <c r="C23" s="10">
        <f t="shared" si="1"/>
        <v>900</v>
      </c>
      <c r="D23" s="10">
        <f t="shared" si="2"/>
        <v>2500</v>
      </c>
      <c r="E23" s="10">
        <f t="shared" si="3"/>
        <v>58.309518948453004</v>
      </c>
    </row>
    <row r="24" spans="1:5" x14ac:dyDescent="0.25">
      <c r="A24" s="10" t="s">
        <v>33</v>
      </c>
      <c r="B24" s="10">
        <f t="shared" si="0"/>
        <v>1</v>
      </c>
      <c r="C24" s="10">
        <f t="shared" si="1"/>
        <v>2500</v>
      </c>
      <c r="D24" s="10">
        <f t="shared" si="2"/>
        <v>6400</v>
      </c>
      <c r="E24" s="10">
        <f t="shared" si="3"/>
        <v>94.34511116109833</v>
      </c>
    </row>
    <row r="31" spans="1:5" x14ac:dyDescent="0.25">
      <c r="A31" s="10" t="s">
        <v>4</v>
      </c>
    </row>
    <row r="32" spans="1:5" x14ac:dyDescent="0.25">
      <c r="A32" s="10" t="s">
        <v>24</v>
      </c>
      <c r="B32" s="10">
        <f>ABS($B$2-B4)</f>
        <v>2</v>
      </c>
      <c r="C32" s="10">
        <f>ABS($C$2-C4)</f>
        <v>50</v>
      </c>
      <c r="D32" s="10">
        <f>ABS($D$2-D4)</f>
        <v>70</v>
      </c>
      <c r="E32" s="10">
        <f>SUM(B32:D32)</f>
        <v>122</v>
      </c>
    </row>
    <row r="33" spans="1:8" x14ac:dyDescent="0.25">
      <c r="A33" s="10" t="s">
        <v>25</v>
      </c>
      <c r="B33" s="10">
        <f t="shared" ref="B33:B36" si="4">ABS($B$2-B5)</f>
        <v>0</v>
      </c>
      <c r="C33" s="10">
        <f t="shared" ref="C33:C36" si="5">ABS($C$2-C5)</f>
        <v>10</v>
      </c>
      <c r="D33" s="10">
        <f t="shared" ref="D33:D36" si="6">ABS($D$2-D5)</f>
        <v>10</v>
      </c>
      <c r="E33" s="10">
        <f t="shared" ref="E33:E36" si="7">SUM(B33:D33)</f>
        <v>20</v>
      </c>
    </row>
    <row r="34" spans="1:8" x14ac:dyDescent="0.25">
      <c r="A34" s="10" t="s">
        <v>26</v>
      </c>
      <c r="B34" s="10">
        <f t="shared" si="4"/>
        <v>1</v>
      </c>
      <c r="C34" s="10">
        <f t="shared" si="5"/>
        <v>20</v>
      </c>
      <c r="D34" s="10">
        <f t="shared" si="6"/>
        <v>40</v>
      </c>
      <c r="E34" s="10">
        <f t="shared" si="7"/>
        <v>61</v>
      </c>
    </row>
    <row r="35" spans="1:8" x14ac:dyDescent="0.25">
      <c r="A35" s="10" t="s">
        <v>27</v>
      </c>
      <c r="B35" s="10">
        <f t="shared" si="4"/>
        <v>1</v>
      </c>
      <c r="C35" s="10">
        <f t="shared" si="5"/>
        <v>60</v>
      </c>
      <c r="D35" s="10">
        <f t="shared" si="6"/>
        <v>100</v>
      </c>
      <c r="E35" s="10">
        <f t="shared" si="7"/>
        <v>161</v>
      </c>
    </row>
    <row r="36" spans="1:8" x14ac:dyDescent="0.25">
      <c r="A36" s="10" t="s">
        <v>28</v>
      </c>
      <c r="B36" s="10">
        <f t="shared" si="4"/>
        <v>2</v>
      </c>
      <c r="C36" s="10">
        <f t="shared" si="5"/>
        <v>80</v>
      </c>
      <c r="D36" s="10">
        <f t="shared" si="6"/>
        <v>130</v>
      </c>
      <c r="E36" s="10">
        <f t="shared" si="7"/>
        <v>212</v>
      </c>
    </row>
    <row r="38" spans="1:8" x14ac:dyDescent="0.25">
      <c r="A38" s="10" t="s">
        <v>29</v>
      </c>
      <c r="B38" s="10">
        <f>ABS($B$3-B4)</f>
        <v>1</v>
      </c>
      <c r="C38" s="10">
        <f>ABS($C$3-C4)</f>
        <v>20</v>
      </c>
      <c r="D38" s="10">
        <f>ABS($D$3-D4)</f>
        <v>20</v>
      </c>
      <c r="E38" s="10">
        <f>SUM(B38:D38)</f>
        <v>41</v>
      </c>
    </row>
    <row r="39" spans="1:8" x14ac:dyDescent="0.25">
      <c r="A39" s="10" t="s">
        <v>30</v>
      </c>
      <c r="B39" s="10">
        <f t="shared" ref="B39:B42" si="8">ABS($B$3-B5)</f>
        <v>1</v>
      </c>
      <c r="C39" s="10">
        <f t="shared" ref="C39:C42" si="9">ABS($C$3-C5)</f>
        <v>40</v>
      </c>
      <c r="D39" s="10">
        <f t="shared" ref="D39:D42" si="10">ABS($D$3-D5)</f>
        <v>60</v>
      </c>
      <c r="E39" s="10">
        <f t="shared" ref="E39:E42" si="11">SUM(B39:D39)</f>
        <v>101</v>
      </c>
    </row>
    <row r="40" spans="1:8" x14ac:dyDescent="0.25">
      <c r="A40" s="10" t="s">
        <v>31</v>
      </c>
      <c r="B40" s="10">
        <f t="shared" si="8"/>
        <v>0</v>
      </c>
      <c r="C40" s="10">
        <f t="shared" si="9"/>
        <v>10</v>
      </c>
      <c r="D40" s="10">
        <f t="shared" si="10"/>
        <v>10</v>
      </c>
      <c r="E40" s="10">
        <f t="shared" si="11"/>
        <v>20</v>
      </c>
    </row>
    <row r="41" spans="1:8" x14ac:dyDescent="0.25">
      <c r="A41" s="10" t="s">
        <v>32</v>
      </c>
      <c r="B41" s="10">
        <f t="shared" si="8"/>
        <v>0</v>
      </c>
      <c r="C41" s="10">
        <f t="shared" si="9"/>
        <v>30</v>
      </c>
      <c r="D41" s="10">
        <f t="shared" si="10"/>
        <v>50</v>
      </c>
      <c r="E41" s="10">
        <f t="shared" si="11"/>
        <v>80</v>
      </c>
    </row>
    <row r="42" spans="1:8" x14ac:dyDescent="0.25">
      <c r="A42" s="10" t="s">
        <v>33</v>
      </c>
      <c r="B42" s="10">
        <f t="shared" si="8"/>
        <v>1</v>
      </c>
      <c r="C42" s="10">
        <f t="shared" si="9"/>
        <v>50</v>
      </c>
      <c r="D42" s="10">
        <f t="shared" si="10"/>
        <v>80</v>
      </c>
      <c r="E42" s="10">
        <f t="shared" si="11"/>
        <v>131</v>
      </c>
    </row>
    <row r="45" spans="1:8" x14ac:dyDescent="0.25">
      <c r="A45" s="10" t="s">
        <v>34</v>
      </c>
      <c r="D45" s="12" t="s">
        <v>35</v>
      </c>
      <c r="E45" s="10"/>
      <c r="F45" s="10" t="s">
        <v>38</v>
      </c>
      <c r="G45" s="10" t="s">
        <v>39</v>
      </c>
      <c r="H45" s="10" t="s">
        <v>40</v>
      </c>
    </row>
    <row r="46" spans="1:8" x14ac:dyDescent="0.25">
      <c r="A46" s="10" t="s">
        <v>6</v>
      </c>
      <c r="B46" s="17">
        <f>AVERAGE(E4:E6)</f>
        <v>72666.666666666672</v>
      </c>
      <c r="D46" s="10" t="s">
        <v>36</v>
      </c>
      <c r="E46" s="13">
        <f>E2-B46</f>
        <v>-12666.666666666672</v>
      </c>
      <c r="F46" s="13">
        <f>E46^2</f>
        <v>160444444.44444457</v>
      </c>
      <c r="G46" s="10">
        <f>(F46+F47)/2</f>
        <v>92722222.222222283</v>
      </c>
      <c r="H46" s="10">
        <f>SQRT(G46)</f>
        <v>9629.2378837695287</v>
      </c>
    </row>
    <row r="47" spans="1:8" x14ac:dyDescent="0.25">
      <c r="A47" s="10" t="s">
        <v>7</v>
      </c>
      <c r="B47" s="11">
        <f>(E6+E4+E7)/3</f>
        <v>80000</v>
      </c>
      <c r="D47" s="10" t="s">
        <v>37</v>
      </c>
      <c r="E47" s="18">
        <f>E3-B47</f>
        <v>-5000</v>
      </c>
      <c r="F47" s="18">
        <f>E47^2</f>
        <v>25000000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Remigio Ismael Hurtado Ortiz</dc:creator>
  <cp:lastModifiedBy>Daniel Guanga</cp:lastModifiedBy>
  <dcterms:created xsi:type="dcterms:W3CDTF">2015-06-05T18:19:34Z</dcterms:created>
  <dcterms:modified xsi:type="dcterms:W3CDTF">2026-05-06T03:19:26Z</dcterms:modified>
</cp:coreProperties>
</file>