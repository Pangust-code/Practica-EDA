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8D2D3B3-9FB8-4648-907F-604BCD291D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jercicio" sheetId="1" r:id="rId1"/>
    <sheet name="EjercicioPropuesto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2" l="1"/>
  <c r="I50" i="2"/>
  <c r="I48" i="2"/>
  <c r="I47" i="2"/>
  <c r="I46" i="2"/>
  <c r="I45" i="2"/>
  <c r="I49" i="2"/>
  <c r="Q45" i="2"/>
  <c r="H35" i="2"/>
  <c r="E21" i="1"/>
  <c r="B45" i="2"/>
  <c r="Q44" i="2"/>
  <c r="N44" i="2"/>
  <c r="N45" i="2"/>
  <c r="H37" i="2"/>
  <c r="H36" i="2"/>
  <c r="H38" i="2"/>
  <c r="H39" i="2"/>
  <c r="H40" i="2"/>
  <c r="C35" i="2"/>
  <c r="Q57" i="2"/>
  <c r="Q56" i="2"/>
  <c r="C50" i="2" s="1"/>
  <c r="Q54" i="2"/>
  <c r="Q53" i="2"/>
  <c r="B47" i="2" s="1"/>
  <c r="H45" i="2"/>
  <c r="H46" i="2"/>
  <c r="H47" i="2"/>
  <c r="H48" i="2"/>
  <c r="H49" i="2"/>
  <c r="H50" i="2"/>
  <c r="N57" i="2"/>
  <c r="N56" i="2"/>
  <c r="G46" i="2"/>
  <c r="G47" i="2"/>
  <c r="G48" i="2"/>
  <c r="G49" i="2"/>
  <c r="G50" i="2"/>
  <c r="G52" i="2" s="1"/>
  <c r="G45" i="2"/>
  <c r="N54" i="2"/>
  <c r="N53" i="2"/>
  <c r="F46" i="2"/>
  <c r="F47" i="2"/>
  <c r="F52" i="2" s="1"/>
  <c r="F48" i="2"/>
  <c r="F49" i="2"/>
  <c r="F50" i="2"/>
  <c r="F45" i="2"/>
  <c r="F51" i="2" s="1"/>
  <c r="N51" i="2"/>
  <c r="N50" i="2"/>
  <c r="G51" i="2"/>
  <c r="E46" i="2"/>
  <c r="E47" i="2"/>
  <c r="E48" i="2"/>
  <c r="E49" i="2"/>
  <c r="E50" i="2"/>
  <c r="E45" i="2"/>
  <c r="E52" i="2" s="1"/>
  <c r="N48" i="2"/>
  <c r="N47" i="2"/>
  <c r="M39" i="2"/>
  <c r="M37" i="2"/>
  <c r="M36" i="2"/>
  <c r="M34" i="2"/>
  <c r="M33" i="2"/>
  <c r="C30" i="1"/>
  <c r="D30" i="1"/>
  <c r="H32" i="1"/>
  <c r="H31" i="1"/>
  <c r="C21" i="1"/>
  <c r="M40" i="2"/>
  <c r="H11" i="1"/>
  <c r="H10" i="1"/>
  <c r="H13" i="1"/>
  <c r="C37" i="1"/>
  <c r="C22" i="1"/>
  <c r="D45" i="2" l="1"/>
  <c r="B49" i="2"/>
  <c r="B46" i="2"/>
  <c r="B48" i="2"/>
  <c r="B50" i="2"/>
  <c r="C45" i="2"/>
  <c r="C52" i="2" s="1"/>
  <c r="C49" i="2"/>
  <c r="C48" i="2"/>
  <c r="C47" i="2"/>
  <c r="C46" i="2"/>
  <c r="H52" i="2"/>
  <c r="H51" i="2"/>
  <c r="E51" i="2"/>
  <c r="C39" i="2"/>
  <c r="D49" i="2"/>
  <c r="C40" i="2"/>
  <c r="D50" i="2"/>
  <c r="C38" i="2"/>
  <c r="D48" i="2"/>
  <c r="C37" i="2"/>
  <c r="D47" i="2"/>
  <c r="C36" i="2"/>
  <c r="D46" i="2"/>
  <c r="H35" i="1"/>
  <c r="I52" i="2" l="1"/>
  <c r="C51" i="2"/>
  <c r="B52" i="2"/>
  <c r="B51" i="2"/>
  <c r="D52" i="2"/>
  <c r="D51" i="2"/>
  <c r="H16" i="1"/>
  <c r="D31" i="1" l="1"/>
  <c r="D32" i="1"/>
  <c r="D33" i="1"/>
  <c r="D34" i="1"/>
  <c r="D35" i="1"/>
  <c r="H34" i="1"/>
  <c r="D22" i="1"/>
  <c r="D23" i="1"/>
  <c r="D24" i="1"/>
  <c r="H14" i="1"/>
  <c r="D25" i="1" s="1"/>
  <c r="H17" i="1"/>
  <c r="D37" i="1" l="1"/>
  <c r="D36" i="1"/>
  <c r="E23" i="1"/>
  <c r="C34" i="1"/>
  <c r="C33" i="1"/>
  <c r="C32" i="1"/>
  <c r="E22" i="1"/>
  <c r="E26" i="1"/>
  <c r="E25" i="1"/>
  <c r="E24" i="1"/>
  <c r="C36" i="1"/>
  <c r="C35" i="1"/>
  <c r="C31" i="1"/>
  <c r="D21" i="1"/>
  <c r="D26" i="1"/>
  <c r="C24" i="1"/>
  <c r="C26" i="1"/>
  <c r="C25" i="1"/>
  <c r="C23" i="1"/>
</calcChain>
</file>

<file path=xl/sharedStrings.xml><?xml version="1.0" encoding="utf-8"?>
<sst xmlns="http://schemas.openxmlformats.org/spreadsheetml/2006/main" count="161" uniqueCount="82">
  <si>
    <t>sexo</t>
  </si>
  <si>
    <t>edad</t>
  </si>
  <si>
    <t>altura</t>
  </si>
  <si>
    <t>variable</t>
  </si>
  <si>
    <t>tipo</t>
  </si>
  <si>
    <t>categórica nominal</t>
  </si>
  <si>
    <t>tecnica</t>
  </si>
  <si>
    <t>sistema binario o coding</t>
  </si>
  <si>
    <t>python</t>
  </si>
  <si>
    <t>onehotencoder</t>
  </si>
  <si>
    <t>numerica discreta</t>
  </si>
  <si>
    <t>numerica continua</t>
  </si>
  <si>
    <t>max edad</t>
  </si>
  <si>
    <t>min edad</t>
  </si>
  <si>
    <t>max altura</t>
  </si>
  <si>
    <t>min altura</t>
  </si>
  <si>
    <t>normalización</t>
  </si>
  <si>
    <t>minmax</t>
  </si>
  <si>
    <t>Normalización</t>
  </si>
  <si>
    <t>Estandarización</t>
  </si>
  <si>
    <t>mean edad</t>
  </si>
  <si>
    <t>mean altura</t>
  </si>
  <si>
    <t>media</t>
  </si>
  <si>
    <t>std altura</t>
  </si>
  <si>
    <t>std edad</t>
  </si>
  <si>
    <t>aprovechamiento</t>
  </si>
  <si>
    <t>sobresaliente</t>
  </si>
  <si>
    <t>muy buena</t>
  </si>
  <si>
    <t>buena</t>
  </si>
  <si>
    <t>insuficiente</t>
  </si>
  <si>
    <t>categórica ordinal</t>
  </si>
  <si>
    <t>ordinal - normalizacion</t>
  </si>
  <si>
    <t>ordinalencoder - minmax</t>
  </si>
  <si>
    <t>max aprov</t>
  </si>
  <si>
    <t>min aprov</t>
  </si>
  <si>
    <t>sexo_M</t>
  </si>
  <si>
    <t>sexo_F</t>
  </si>
  <si>
    <t>Total=variables originales - variables nominales + variables binarias</t>
  </si>
  <si>
    <t>Total=4-1+2=5</t>
  </si>
  <si>
    <t>M</t>
  </si>
  <si>
    <t>F</t>
  </si>
  <si>
    <t>nivelSatisfaccion</t>
  </si>
  <si>
    <t>neutral</t>
  </si>
  <si>
    <t>país</t>
  </si>
  <si>
    <t>España</t>
  </si>
  <si>
    <t>Chile</t>
  </si>
  <si>
    <t>Ecuador</t>
  </si>
  <si>
    <t>1. Realizar tabla de diseño de transformaciones</t>
  </si>
  <si>
    <t>2. Ejecutar transformaciones categóricas</t>
  </si>
  <si>
    <t>3. Ejecutar transformaciones numéricas</t>
  </si>
  <si>
    <t>4. Calcular la media y la desviación estandar de la variable edad una vez que ha sido estandarizada</t>
  </si>
  <si>
    <t>Actividades en clase</t>
  </si>
  <si>
    <t>std</t>
  </si>
  <si>
    <t>me gusta</t>
  </si>
  <si>
    <t>no me gusta</t>
  </si>
  <si>
    <t>Brasil</t>
  </si>
  <si>
    <t>Dataset de gustos sobre películas</t>
  </si>
  <si>
    <t>pais</t>
  </si>
  <si>
    <t>categorica nominal</t>
  </si>
  <si>
    <t>max nivelSatisfaccion</t>
  </si>
  <si>
    <t>min nivelSatisfaccion</t>
  </si>
  <si>
    <t>max pais</t>
  </si>
  <si>
    <t>min pais</t>
  </si>
  <si>
    <t>Estadarizacion</t>
  </si>
  <si>
    <t>pais_Brasil</t>
  </si>
  <si>
    <t>pais_Chile</t>
  </si>
  <si>
    <t>pais_Ecuador</t>
  </si>
  <si>
    <t>pais_España</t>
  </si>
  <si>
    <t>mean pais brasil</t>
  </si>
  <si>
    <t>std pais brasil</t>
  </si>
  <si>
    <t>mean pais chile</t>
  </si>
  <si>
    <t>mean pais ecuador</t>
  </si>
  <si>
    <t>std pais chile</t>
  </si>
  <si>
    <t>std pai ecuador</t>
  </si>
  <si>
    <t>mean pais españa</t>
  </si>
  <si>
    <t>std pai españa</t>
  </si>
  <si>
    <t>mean meGusta</t>
  </si>
  <si>
    <t>std meGusta</t>
  </si>
  <si>
    <t>mean sexo_M</t>
  </si>
  <si>
    <t>std sexo_M</t>
  </si>
  <si>
    <t>mean sexo_F</t>
  </si>
  <si>
    <t>std sexo_F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</si>
</sst>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0" xfId="0" applyFont="1" applyFill="1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2"/>
  <sheetViews>
    <sheetView topLeftCell="A6" zoomScale="142" zoomScaleNormal="142" workbookViewId="0">
      <selection activeCell="E21" sqref="E21"/>
    </sheetView>
  </sheetViews>
  <sheetFormatPr baseColWidth="10" defaultColWidth="9.140625" defaultRowHeight="15" x14ac:dyDescent="0.25"/>
  <cols>
    <col min="1" max="1" width="61.42578125" bestFit="1" customWidth="1"/>
    <col min="4" max="5" width="16.85546875" customWidth="1"/>
    <col min="7" max="7" width="11.85546875" customWidth="1"/>
    <col min="9" max="9" width="16.7109375" bestFit="1" customWidth="1"/>
    <col min="10" max="10" width="17.85546875" bestFit="1" customWidth="1"/>
    <col min="11" max="11" width="22.7109375" bestFit="1" customWidth="1"/>
    <col min="12" max="12" width="23.5703125" bestFit="1" customWidth="1"/>
  </cols>
  <sheetData>
    <row r="2" spans="1:16" x14ac:dyDescent="0.25">
      <c r="A2" s="3" t="s">
        <v>0</v>
      </c>
      <c r="B2" s="3" t="s">
        <v>1</v>
      </c>
      <c r="C2" s="3" t="s">
        <v>2</v>
      </c>
      <c r="D2" s="3" t="s">
        <v>25</v>
      </c>
      <c r="E2" s="5"/>
      <c r="I2" s="4" t="s">
        <v>3</v>
      </c>
      <c r="J2" s="4" t="s">
        <v>4</v>
      </c>
      <c r="K2" s="4" t="s">
        <v>6</v>
      </c>
      <c r="L2" s="4" t="s">
        <v>8</v>
      </c>
      <c r="N2" s="4"/>
      <c r="O2" s="4" t="s">
        <v>6</v>
      </c>
      <c r="P2" s="4" t="s">
        <v>8</v>
      </c>
    </row>
    <row r="3" spans="1:16" x14ac:dyDescent="0.25">
      <c r="A3" s="2">
        <v>1</v>
      </c>
      <c r="B3" s="2">
        <v>18</v>
      </c>
      <c r="C3" s="2">
        <v>1.75</v>
      </c>
      <c r="D3" s="1" t="s">
        <v>26</v>
      </c>
      <c r="I3" s="1" t="s">
        <v>0</v>
      </c>
      <c r="J3" s="1" t="s">
        <v>5</v>
      </c>
      <c r="K3" s="1" t="s">
        <v>7</v>
      </c>
      <c r="L3" s="1" t="s">
        <v>9</v>
      </c>
      <c r="N3" s="1" t="s">
        <v>5</v>
      </c>
      <c r="O3" s="1" t="s">
        <v>7</v>
      </c>
      <c r="P3" s="1" t="s">
        <v>9</v>
      </c>
    </row>
    <row r="4" spans="1:16" x14ac:dyDescent="0.25">
      <c r="A4" s="2">
        <v>2</v>
      </c>
      <c r="B4" s="2">
        <v>19</v>
      </c>
      <c r="C4" s="2">
        <v>1.82</v>
      </c>
      <c r="D4" s="1" t="s">
        <v>27</v>
      </c>
      <c r="I4" s="1" t="s">
        <v>1</v>
      </c>
      <c r="J4" s="1" t="s">
        <v>10</v>
      </c>
      <c r="K4" s="1" t="s">
        <v>16</v>
      </c>
      <c r="L4" s="1" t="s">
        <v>17</v>
      </c>
    </row>
    <row r="5" spans="1:16" x14ac:dyDescent="0.25">
      <c r="A5" s="2">
        <v>2</v>
      </c>
      <c r="B5" s="2">
        <v>21</v>
      </c>
      <c r="C5" s="2">
        <v>1.63</v>
      </c>
      <c r="D5" s="1" t="s">
        <v>28</v>
      </c>
      <c r="I5" s="1" t="s">
        <v>2</v>
      </c>
      <c r="J5" s="1" t="s">
        <v>11</v>
      </c>
      <c r="K5" s="1" t="s">
        <v>16</v>
      </c>
      <c r="L5" s="1" t="s">
        <v>17</v>
      </c>
    </row>
    <row r="6" spans="1:16" x14ac:dyDescent="0.25">
      <c r="A6" s="2">
        <v>1</v>
      </c>
      <c r="B6" s="2">
        <v>22</v>
      </c>
      <c r="C6" s="2">
        <v>1.54</v>
      </c>
      <c r="D6" s="1" t="s">
        <v>29</v>
      </c>
      <c r="I6" s="1" t="s">
        <v>25</v>
      </c>
      <c r="J6" s="1" t="s">
        <v>30</v>
      </c>
      <c r="K6" s="1" t="s">
        <v>31</v>
      </c>
      <c r="L6" s="1" t="s">
        <v>32</v>
      </c>
    </row>
    <row r="7" spans="1:16" x14ac:dyDescent="0.25">
      <c r="A7" s="2">
        <v>2</v>
      </c>
      <c r="B7" s="2">
        <v>17</v>
      </c>
      <c r="C7" s="2">
        <v>1.9</v>
      </c>
      <c r="D7" s="1" t="s">
        <v>28</v>
      </c>
    </row>
    <row r="8" spans="1:16" x14ac:dyDescent="0.25">
      <c r="A8" s="2">
        <v>2</v>
      </c>
      <c r="B8" s="2">
        <v>21</v>
      </c>
      <c r="C8" s="2">
        <v>1.56</v>
      </c>
      <c r="D8" s="1" t="s">
        <v>27</v>
      </c>
    </row>
    <row r="10" spans="1:16" x14ac:dyDescent="0.25">
      <c r="G10" t="s">
        <v>33</v>
      </c>
      <c r="H10">
        <f>MAX(E12:E17)</f>
        <v>3</v>
      </c>
    </row>
    <row r="11" spans="1:16" x14ac:dyDescent="0.25">
      <c r="A11" s="4" t="s">
        <v>35</v>
      </c>
      <c r="B11" s="4" t="s">
        <v>36</v>
      </c>
      <c r="C11" s="4" t="s">
        <v>1</v>
      </c>
      <c r="D11" s="4" t="s">
        <v>2</v>
      </c>
      <c r="E11" s="3" t="s">
        <v>25</v>
      </c>
      <c r="G11" t="s">
        <v>34</v>
      </c>
      <c r="H11">
        <f>MIN(E12:E17)</f>
        <v>0</v>
      </c>
    </row>
    <row r="12" spans="1:16" x14ac:dyDescent="0.25">
      <c r="A12" s="1">
        <v>1</v>
      </c>
      <c r="B12" s="1">
        <v>0</v>
      </c>
      <c r="C12" s="2">
        <v>18</v>
      </c>
      <c r="D12" s="2">
        <v>1.75</v>
      </c>
      <c r="E12" s="2">
        <v>3</v>
      </c>
    </row>
    <row r="13" spans="1:16" x14ac:dyDescent="0.25">
      <c r="A13" s="1">
        <v>0</v>
      </c>
      <c r="B13" s="1">
        <v>1</v>
      </c>
      <c r="C13" s="2">
        <v>19</v>
      </c>
      <c r="D13" s="2">
        <v>1.82</v>
      </c>
      <c r="E13" s="2">
        <v>2</v>
      </c>
      <c r="G13" t="s">
        <v>14</v>
      </c>
      <c r="H13">
        <f>MAX(D12:D17)</f>
        <v>1.9</v>
      </c>
    </row>
    <row r="14" spans="1:16" x14ac:dyDescent="0.25">
      <c r="A14" s="1">
        <v>0</v>
      </c>
      <c r="B14" s="1">
        <v>1</v>
      </c>
      <c r="C14" s="2">
        <v>21</v>
      </c>
      <c r="D14" s="2">
        <v>1.63</v>
      </c>
      <c r="E14" s="2">
        <v>1</v>
      </c>
      <c r="G14" t="s">
        <v>15</v>
      </c>
      <c r="H14">
        <f>MIN(D12:D17)</f>
        <v>1.54</v>
      </c>
    </row>
    <row r="15" spans="1:16" x14ac:dyDescent="0.25">
      <c r="A15" s="1">
        <v>1</v>
      </c>
      <c r="B15" s="1">
        <v>0</v>
      </c>
      <c r="C15" s="2">
        <v>27</v>
      </c>
      <c r="D15" s="2">
        <v>1.54</v>
      </c>
      <c r="E15" s="2">
        <v>0</v>
      </c>
    </row>
    <row r="16" spans="1:16" x14ac:dyDescent="0.25">
      <c r="A16" s="1">
        <v>0</v>
      </c>
      <c r="B16" s="1">
        <v>1</v>
      </c>
      <c r="C16" s="2">
        <v>5</v>
      </c>
      <c r="D16" s="2">
        <v>1.9</v>
      </c>
      <c r="E16" s="2">
        <v>1</v>
      </c>
      <c r="G16" t="s">
        <v>12</v>
      </c>
      <c r="H16">
        <f>MAX(C12:C17)</f>
        <v>27</v>
      </c>
    </row>
    <row r="17" spans="1:8" x14ac:dyDescent="0.25">
      <c r="A17" s="1">
        <v>0</v>
      </c>
      <c r="B17" s="1">
        <v>1</v>
      </c>
      <c r="C17" s="2">
        <v>21</v>
      </c>
      <c r="D17" s="2">
        <v>1.56</v>
      </c>
      <c r="E17" s="2">
        <v>2</v>
      </c>
      <c r="G17" t="s">
        <v>13</v>
      </c>
      <c r="H17">
        <f>MIN(C12:C17)</f>
        <v>5</v>
      </c>
    </row>
    <row r="19" spans="1:8" x14ac:dyDescent="0.25">
      <c r="A19" s="19" t="s">
        <v>18</v>
      </c>
      <c r="B19" s="19"/>
      <c r="C19" s="19"/>
      <c r="D19" s="19"/>
      <c r="E19" s="5"/>
    </row>
    <row r="20" spans="1:8" x14ac:dyDescent="0.25">
      <c r="A20" s="4" t="s">
        <v>35</v>
      </c>
      <c r="B20" s="4" t="s">
        <v>36</v>
      </c>
      <c r="C20" s="4" t="s">
        <v>1</v>
      </c>
      <c r="D20" s="4" t="s">
        <v>2</v>
      </c>
      <c r="E20" s="3" t="s">
        <v>25</v>
      </c>
    </row>
    <row r="21" spans="1:8" x14ac:dyDescent="0.25">
      <c r="A21" s="1">
        <v>1</v>
      </c>
      <c r="B21" s="1">
        <v>0</v>
      </c>
      <c r="C21" s="2">
        <f>(C12-$H$17)/($H$16-$H$17)</f>
        <v>0.59090909090909094</v>
      </c>
      <c r="D21" s="1">
        <f>(D12-$H$14)/($H$13-$H$14)</f>
        <v>0.58333333333333348</v>
      </c>
      <c r="E21" s="1">
        <f>(E12-$H$11)/($H$10-$H$11)</f>
        <v>1</v>
      </c>
    </row>
    <row r="22" spans="1:8" x14ac:dyDescent="0.25">
      <c r="A22" s="1">
        <v>0</v>
      </c>
      <c r="B22" s="1">
        <v>1</v>
      </c>
      <c r="C22" s="2">
        <f>(C13-$H$17)/($H$16-$H$17)</f>
        <v>0.63636363636363635</v>
      </c>
      <c r="D22" s="1">
        <f t="shared" ref="D22:D26" si="0">(D13-$H$14)/($H$13-$H$14)</f>
        <v>0.77777777777777812</v>
      </c>
      <c r="E22" s="1">
        <f t="shared" ref="E22:E26" si="1">(E13-$H$11)/($H$10-$H$11)</f>
        <v>0.66666666666666663</v>
      </c>
    </row>
    <row r="23" spans="1:8" x14ac:dyDescent="0.25">
      <c r="A23" s="1">
        <v>0</v>
      </c>
      <c r="B23" s="1">
        <v>1</v>
      </c>
      <c r="C23" s="2">
        <f t="shared" ref="C23:C26" si="2">(C14-$H$17)/($H$16-$H$17)</f>
        <v>0.72727272727272729</v>
      </c>
      <c r="D23" s="1">
        <f t="shared" si="0"/>
        <v>0.24999999999999969</v>
      </c>
      <c r="E23" s="1">
        <f t="shared" si="1"/>
        <v>0.33333333333333331</v>
      </c>
    </row>
    <row r="24" spans="1:8" x14ac:dyDescent="0.25">
      <c r="A24" s="1">
        <v>1</v>
      </c>
      <c r="B24" s="1">
        <v>0</v>
      </c>
      <c r="C24" s="2">
        <f t="shared" si="2"/>
        <v>1</v>
      </c>
      <c r="D24" s="1">
        <f t="shared" si="0"/>
        <v>0</v>
      </c>
      <c r="E24" s="1">
        <f t="shared" si="1"/>
        <v>0</v>
      </c>
    </row>
    <row r="25" spans="1:8" x14ac:dyDescent="0.25">
      <c r="A25" s="1">
        <v>0</v>
      </c>
      <c r="B25" s="1">
        <v>1</v>
      </c>
      <c r="C25" s="2">
        <f t="shared" si="2"/>
        <v>0</v>
      </c>
      <c r="D25" s="1">
        <f t="shared" si="0"/>
        <v>1</v>
      </c>
      <c r="E25" s="1">
        <f t="shared" si="1"/>
        <v>0.33333333333333331</v>
      </c>
    </row>
    <row r="26" spans="1:8" x14ac:dyDescent="0.25">
      <c r="A26" s="1">
        <v>0</v>
      </c>
      <c r="B26" s="1">
        <v>1</v>
      </c>
      <c r="C26" s="2">
        <f t="shared" si="2"/>
        <v>0.72727272727272729</v>
      </c>
      <c r="D26" s="1">
        <f t="shared" si="0"/>
        <v>5.5555555555555622E-2</v>
      </c>
      <c r="E26" s="1">
        <f t="shared" si="1"/>
        <v>0.66666666666666663</v>
      </c>
    </row>
    <row r="27" spans="1:8" x14ac:dyDescent="0.25">
      <c r="C27" s="5"/>
    </row>
    <row r="28" spans="1:8" x14ac:dyDescent="0.25">
      <c r="A28" s="19" t="s">
        <v>19</v>
      </c>
      <c r="B28" s="19"/>
      <c r="C28" s="19"/>
      <c r="D28" s="19"/>
      <c r="E28" s="5"/>
    </row>
    <row r="29" spans="1:8" x14ac:dyDescent="0.25">
      <c r="A29" s="4" t="s">
        <v>35</v>
      </c>
      <c r="B29" s="4" t="s">
        <v>36</v>
      </c>
      <c r="C29" s="4" t="s">
        <v>1</v>
      </c>
      <c r="D29" s="4" t="s">
        <v>2</v>
      </c>
      <c r="E29" s="3" t="s">
        <v>25</v>
      </c>
    </row>
    <row r="30" spans="1:8" x14ac:dyDescent="0.25">
      <c r="A30" s="1"/>
      <c r="B30" s="1"/>
      <c r="C30" s="2">
        <f>(C12-$H$34)/$H$35</f>
        <v>-7.4883086444897676E-2</v>
      </c>
      <c r="D30" s="2">
        <f>(D12-$H$31)/$H$32</f>
        <v>0.37441543222448709</v>
      </c>
      <c r="E30" s="2"/>
    </row>
    <row r="31" spans="1:8" x14ac:dyDescent="0.25">
      <c r="A31" s="1"/>
      <c r="B31" s="1"/>
      <c r="C31" s="2">
        <f t="shared" ref="C31:C35" si="3">(C13-$H$34)/$H$35</f>
        <v>7.4883086444897676E-2</v>
      </c>
      <c r="D31" s="2">
        <f t="shared" ref="D31:D35" si="4">(D13-$H$31)/$H$32</f>
        <v>0.89859703733877139</v>
      </c>
      <c r="E31" s="2"/>
      <c r="G31" t="s">
        <v>21</v>
      </c>
      <c r="H31">
        <f>AVERAGE(D12:D17)</f>
        <v>1.7000000000000002</v>
      </c>
    </row>
    <row r="32" spans="1:8" x14ac:dyDescent="0.25">
      <c r="A32" s="1"/>
      <c r="B32" s="1"/>
      <c r="C32" s="2">
        <f t="shared" si="3"/>
        <v>0.37441543222448842</v>
      </c>
      <c r="D32" s="2">
        <f t="shared" si="4"/>
        <v>-0.52418160511428591</v>
      </c>
      <c r="E32" s="2"/>
      <c r="G32" t="s">
        <v>23</v>
      </c>
      <c r="H32">
        <f>_xlfn.STDEV.P(D12:D17)</f>
        <v>0.13354150416006752</v>
      </c>
    </row>
    <row r="33" spans="1:8" x14ac:dyDescent="0.25">
      <c r="A33" s="1"/>
      <c r="B33" s="1"/>
      <c r="C33" s="2">
        <f t="shared" si="3"/>
        <v>1.2730124695632605</v>
      </c>
      <c r="D33" s="2">
        <f t="shared" si="4"/>
        <v>-1.1981293831183639</v>
      </c>
      <c r="E33" s="2"/>
    </row>
    <row r="34" spans="1:8" x14ac:dyDescent="0.25">
      <c r="A34" s="1"/>
      <c r="B34" s="1"/>
      <c r="C34" s="2">
        <f t="shared" si="3"/>
        <v>-2.0218433340122375</v>
      </c>
      <c r="D34" s="2">
        <f t="shared" si="4"/>
        <v>1.4976617288979517</v>
      </c>
      <c r="E34" s="2"/>
      <c r="G34" t="s">
        <v>20</v>
      </c>
      <c r="H34">
        <f>AVERAGE(C12:C17)</f>
        <v>18.5</v>
      </c>
    </row>
    <row r="35" spans="1:8" ht="15.75" thickBot="1" x14ac:dyDescent="0.3">
      <c r="A35" s="1"/>
      <c r="B35" s="1"/>
      <c r="C35" s="8">
        <f t="shared" si="3"/>
        <v>0.37441543222448842</v>
      </c>
      <c r="D35" s="8">
        <f t="shared" si="4"/>
        <v>-1.0483632102285685</v>
      </c>
      <c r="E35" s="2"/>
      <c r="G35" t="s">
        <v>24</v>
      </c>
      <c r="H35">
        <f>_xlfn.STDEV.P(C12:C17)</f>
        <v>6.6770752080033766</v>
      </c>
    </row>
    <row r="36" spans="1:8" x14ac:dyDescent="0.25">
      <c r="A36" s="13" t="s">
        <v>22</v>
      </c>
      <c r="C36" s="9">
        <f>AVERAGE(C30:C35)</f>
        <v>0</v>
      </c>
      <c r="D36" s="10">
        <f>ROUND(AVERAGE(D30:D35),4)</f>
        <v>0</v>
      </c>
      <c r="E36" s="14"/>
    </row>
    <row r="37" spans="1:8" ht="15.75" thickBot="1" x14ac:dyDescent="0.3">
      <c r="A37" s="13" t="s">
        <v>52</v>
      </c>
      <c r="C37" s="11">
        <f>_xlfn.STDEV.P(C30:C35)</f>
        <v>1</v>
      </c>
      <c r="D37" s="12">
        <f>_xlfn.STDEV.P(D30:D35)</f>
        <v>0.99999999999999978</v>
      </c>
    </row>
    <row r="41" spans="1:8" x14ac:dyDescent="0.25">
      <c r="A41" t="s">
        <v>37</v>
      </c>
    </row>
    <row r="42" spans="1:8" x14ac:dyDescent="0.25">
      <c r="A42" s="7" t="s">
        <v>38</v>
      </c>
      <c r="B42" s="7"/>
    </row>
  </sheetData>
  <mergeCells count="2">
    <mergeCell ref="A19:D19"/>
    <mergeCell ref="A28:D2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"/>
  <sheetViews>
    <sheetView tabSelected="1" topLeftCell="A19" workbookViewId="0">
      <selection activeCell="I52" sqref="I52"/>
    </sheetView>
  </sheetViews>
  <sheetFormatPr baseColWidth="10" defaultRowHeight="15" x14ac:dyDescent="0.25"/>
  <cols>
    <col min="1" max="1" width="30.7109375" bestFit="1" customWidth="1"/>
    <col min="2" max="2" width="17.85546875" bestFit="1" customWidth="1"/>
    <col min="3" max="3" width="22.7109375" bestFit="1" customWidth="1"/>
    <col min="4" max="4" width="23.5703125" bestFit="1" customWidth="1"/>
    <col min="5" max="5" width="15.85546875" bestFit="1" customWidth="1"/>
    <col min="6" max="6" width="12.5703125" customWidth="1"/>
    <col min="7" max="7" width="12.5703125" bestFit="1" customWidth="1"/>
    <col min="8" max="8" width="15.140625" customWidth="1"/>
    <col min="9" max="9" width="20.140625" customWidth="1"/>
    <col min="10" max="11" width="17.5703125" bestFit="1" customWidth="1"/>
    <col min="12" max="12" width="20.140625" bestFit="1" customWidth="1"/>
    <col min="13" max="13" width="17.7109375" bestFit="1" customWidth="1"/>
    <col min="16" max="16" width="14.28515625" bestFit="1" customWidth="1"/>
  </cols>
  <sheetData>
    <row r="1" spans="1:7" x14ac:dyDescent="0.25">
      <c r="A1" s="6" t="s">
        <v>56</v>
      </c>
    </row>
    <row r="2" spans="1:7" x14ac:dyDescent="0.25">
      <c r="A2" s="3" t="s">
        <v>0</v>
      </c>
      <c r="B2" s="3" t="s">
        <v>1</v>
      </c>
      <c r="C2" s="3" t="s">
        <v>43</v>
      </c>
      <c r="D2" s="3" t="s">
        <v>41</v>
      </c>
    </row>
    <row r="3" spans="1:7" x14ac:dyDescent="0.25">
      <c r="A3" s="2" t="s">
        <v>40</v>
      </c>
      <c r="B3" s="2">
        <v>65</v>
      </c>
      <c r="C3" s="2" t="s">
        <v>55</v>
      </c>
      <c r="D3" s="2" t="s">
        <v>53</v>
      </c>
    </row>
    <row r="4" spans="1:7" x14ac:dyDescent="0.25">
      <c r="A4" s="2" t="s">
        <v>39</v>
      </c>
      <c r="B4" s="2">
        <v>26</v>
      </c>
      <c r="C4" s="2" t="s">
        <v>44</v>
      </c>
      <c r="D4" s="2" t="s">
        <v>54</v>
      </c>
    </row>
    <row r="5" spans="1:7" x14ac:dyDescent="0.25">
      <c r="A5" s="2" t="s">
        <v>40</v>
      </c>
      <c r="B5" s="2">
        <v>21</v>
      </c>
      <c r="C5" s="2" t="s">
        <v>45</v>
      </c>
      <c r="D5" s="2" t="s">
        <v>42</v>
      </c>
    </row>
    <row r="6" spans="1:7" x14ac:dyDescent="0.25">
      <c r="A6" s="2" t="s">
        <v>39</v>
      </c>
      <c r="B6" s="2">
        <v>12</v>
      </c>
      <c r="C6" s="2" t="s">
        <v>46</v>
      </c>
      <c r="D6" s="2" t="s">
        <v>54</v>
      </c>
    </row>
    <row r="7" spans="1:7" x14ac:dyDescent="0.25">
      <c r="A7" s="2" t="s">
        <v>40</v>
      </c>
      <c r="B7" s="2">
        <v>32</v>
      </c>
      <c r="C7" s="2" t="s">
        <v>44</v>
      </c>
      <c r="D7" s="2" t="s">
        <v>53</v>
      </c>
    </row>
    <row r="8" spans="1:7" x14ac:dyDescent="0.25">
      <c r="A8" s="2" t="s">
        <v>39</v>
      </c>
      <c r="B8" s="2">
        <v>9</v>
      </c>
      <c r="C8" s="2" t="s">
        <v>46</v>
      </c>
      <c r="D8" s="2" t="s">
        <v>54</v>
      </c>
      <c r="G8" s="5"/>
    </row>
    <row r="10" spans="1:7" x14ac:dyDescent="0.25">
      <c r="A10" s="22" t="s">
        <v>51</v>
      </c>
      <c r="B10" s="22"/>
      <c r="C10" s="22"/>
      <c r="D10" s="22"/>
      <c r="E10" s="22"/>
      <c r="F10" s="22"/>
      <c r="G10" s="22"/>
    </row>
    <row r="11" spans="1:7" x14ac:dyDescent="0.25">
      <c r="A11" s="21" t="s">
        <v>47</v>
      </c>
      <c r="B11" s="21"/>
      <c r="C11" s="21"/>
      <c r="D11" s="21"/>
      <c r="E11" s="21"/>
      <c r="F11" s="21"/>
      <c r="G11" s="21"/>
    </row>
    <row r="12" spans="1:7" x14ac:dyDescent="0.25">
      <c r="A12" s="21" t="s">
        <v>48</v>
      </c>
      <c r="B12" s="21"/>
      <c r="C12" s="21"/>
      <c r="D12" s="21"/>
      <c r="E12" s="21"/>
      <c r="F12" s="21"/>
      <c r="G12" s="21"/>
    </row>
    <row r="13" spans="1:7" x14ac:dyDescent="0.25">
      <c r="A13" s="21" t="s">
        <v>49</v>
      </c>
      <c r="B13" s="21"/>
      <c r="C13" s="21"/>
      <c r="D13" s="21"/>
      <c r="E13" s="21"/>
      <c r="F13" s="21"/>
      <c r="G13" s="21"/>
    </row>
    <row r="14" spans="1:7" x14ac:dyDescent="0.25">
      <c r="A14" s="21" t="s">
        <v>50</v>
      </c>
      <c r="B14" s="21"/>
      <c r="C14" s="21"/>
      <c r="D14" s="21"/>
      <c r="E14" s="21"/>
      <c r="F14" s="21"/>
      <c r="G14" s="21"/>
    </row>
    <row r="16" spans="1:7" x14ac:dyDescent="0.25">
      <c r="A16" s="4" t="s">
        <v>3</v>
      </c>
      <c r="B16" s="4" t="s">
        <v>4</v>
      </c>
      <c r="C16" s="4" t="s">
        <v>6</v>
      </c>
      <c r="D16" s="4" t="s">
        <v>8</v>
      </c>
    </row>
    <row r="17" spans="1:5" x14ac:dyDescent="0.25">
      <c r="A17" s="1" t="s">
        <v>0</v>
      </c>
      <c r="B17" s="1" t="s">
        <v>5</v>
      </c>
      <c r="C17" s="1" t="s">
        <v>7</v>
      </c>
      <c r="D17" s="1" t="s">
        <v>9</v>
      </c>
    </row>
    <row r="18" spans="1:5" x14ac:dyDescent="0.25">
      <c r="A18" s="1" t="s">
        <v>1</v>
      </c>
      <c r="B18" s="1" t="s">
        <v>10</v>
      </c>
      <c r="C18" s="1" t="s">
        <v>16</v>
      </c>
      <c r="D18" s="1" t="s">
        <v>17</v>
      </c>
    </row>
    <row r="19" spans="1:5" x14ac:dyDescent="0.25">
      <c r="A19" s="1" t="s">
        <v>57</v>
      </c>
      <c r="B19" s="1" t="s">
        <v>58</v>
      </c>
      <c r="C19" s="1" t="s">
        <v>7</v>
      </c>
      <c r="D19" s="1" t="s">
        <v>9</v>
      </c>
    </row>
    <row r="20" spans="1:5" x14ac:dyDescent="0.25">
      <c r="A20" s="1" t="s">
        <v>41</v>
      </c>
      <c r="B20" s="1" t="s">
        <v>30</v>
      </c>
      <c r="C20" s="1" t="s">
        <v>31</v>
      </c>
      <c r="D20" s="1" t="s">
        <v>32</v>
      </c>
    </row>
    <row r="23" spans="1:5" x14ac:dyDescent="0.25">
      <c r="A23" s="4" t="s">
        <v>35</v>
      </c>
      <c r="B23" s="4" t="s">
        <v>36</v>
      </c>
      <c r="C23" s="4" t="s">
        <v>1</v>
      </c>
      <c r="D23" s="3" t="s">
        <v>43</v>
      </c>
      <c r="E23" s="3" t="s">
        <v>41</v>
      </c>
    </row>
    <row r="24" spans="1:5" x14ac:dyDescent="0.25">
      <c r="A24" s="1">
        <v>0</v>
      </c>
      <c r="B24" s="1">
        <v>1</v>
      </c>
      <c r="C24" s="2">
        <v>65</v>
      </c>
      <c r="D24" s="2">
        <v>1</v>
      </c>
      <c r="E24" s="2">
        <v>0</v>
      </c>
    </row>
    <row r="25" spans="1:5" x14ac:dyDescent="0.25">
      <c r="A25" s="1">
        <v>1</v>
      </c>
      <c r="B25" s="1">
        <v>0</v>
      </c>
      <c r="C25" s="2">
        <v>26</v>
      </c>
      <c r="D25" s="2">
        <v>4</v>
      </c>
      <c r="E25" s="2">
        <v>2</v>
      </c>
    </row>
    <row r="26" spans="1:5" x14ac:dyDescent="0.25">
      <c r="A26" s="1">
        <v>0</v>
      </c>
      <c r="B26" s="1">
        <v>1</v>
      </c>
      <c r="C26" s="2">
        <v>21</v>
      </c>
      <c r="D26" s="2">
        <v>2</v>
      </c>
      <c r="E26" s="2">
        <v>1</v>
      </c>
    </row>
    <row r="27" spans="1:5" x14ac:dyDescent="0.25">
      <c r="A27" s="1">
        <v>1</v>
      </c>
      <c r="B27" s="1">
        <v>0</v>
      </c>
      <c r="C27" s="2">
        <v>12</v>
      </c>
      <c r="D27" s="2">
        <v>3</v>
      </c>
      <c r="E27" s="2">
        <v>2</v>
      </c>
    </row>
    <row r="28" spans="1:5" x14ac:dyDescent="0.25">
      <c r="A28" s="1">
        <v>0</v>
      </c>
      <c r="B28" s="1">
        <v>1</v>
      </c>
      <c r="C28" s="2">
        <v>32</v>
      </c>
      <c r="D28" s="2">
        <v>4</v>
      </c>
      <c r="E28" s="2">
        <v>0</v>
      </c>
    </row>
    <row r="29" spans="1:5" x14ac:dyDescent="0.25">
      <c r="A29" s="1">
        <v>1</v>
      </c>
      <c r="B29" s="1">
        <v>0</v>
      </c>
      <c r="C29" s="2">
        <v>9</v>
      </c>
      <c r="D29" s="2">
        <v>3</v>
      </c>
      <c r="E29" s="2">
        <v>2</v>
      </c>
    </row>
    <row r="33" spans="1:17" x14ac:dyDescent="0.25">
      <c r="A33" s="19" t="s">
        <v>18</v>
      </c>
      <c r="B33" s="19"/>
      <c r="C33" s="19"/>
      <c r="D33" s="19"/>
      <c r="E33" s="5"/>
      <c r="L33" t="s">
        <v>59</v>
      </c>
      <c r="M33">
        <f>MAX(E24:E29)</f>
        <v>2</v>
      </c>
    </row>
    <row r="34" spans="1:17" x14ac:dyDescent="0.25">
      <c r="A34" s="4" t="s">
        <v>35</v>
      </c>
      <c r="B34" s="4" t="s">
        <v>36</v>
      </c>
      <c r="C34" s="4" t="s">
        <v>1</v>
      </c>
      <c r="D34" s="4" t="s">
        <v>64</v>
      </c>
      <c r="E34" s="3" t="s">
        <v>65</v>
      </c>
      <c r="F34" s="3" t="s">
        <v>66</v>
      </c>
      <c r="G34" s="3" t="s">
        <v>67</v>
      </c>
      <c r="H34" s="3" t="s">
        <v>41</v>
      </c>
      <c r="L34" t="s">
        <v>60</v>
      </c>
      <c r="M34">
        <f>MIN(E24:E29)</f>
        <v>0</v>
      </c>
    </row>
    <row r="35" spans="1:17" x14ac:dyDescent="0.25">
      <c r="A35" s="1">
        <v>1</v>
      </c>
      <c r="B35" s="1">
        <v>0</v>
      </c>
      <c r="C35" s="2">
        <f>(C24-$M$40)/($M$39-$M$40)</f>
        <v>1</v>
      </c>
      <c r="D35" s="2">
        <v>1</v>
      </c>
      <c r="E35" s="2">
        <v>0</v>
      </c>
      <c r="F35" s="1">
        <v>0</v>
      </c>
      <c r="G35" s="1">
        <v>0</v>
      </c>
      <c r="H35" s="2">
        <f>(E24-$M$34)/($M$33-$M$34)</f>
        <v>0</v>
      </c>
    </row>
    <row r="36" spans="1:17" x14ac:dyDescent="0.25">
      <c r="A36" s="1">
        <v>0</v>
      </c>
      <c r="B36" s="1">
        <v>1</v>
      </c>
      <c r="C36" s="2">
        <f t="shared" ref="C36:C40" si="0">(C25-$M$40)/($M$39-$M$40)</f>
        <v>0.30357142857142855</v>
      </c>
      <c r="D36" s="2">
        <v>0</v>
      </c>
      <c r="E36" s="2">
        <v>0</v>
      </c>
      <c r="F36" s="1">
        <v>0</v>
      </c>
      <c r="G36" s="1">
        <v>1</v>
      </c>
      <c r="H36" s="2">
        <f>(E25-$M$34)/($M$33-$M$34)</f>
        <v>1</v>
      </c>
      <c r="L36" t="s">
        <v>61</v>
      </c>
      <c r="M36">
        <f>MAX(D24:D29)</f>
        <v>4</v>
      </c>
    </row>
    <row r="37" spans="1:17" x14ac:dyDescent="0.25">
      <c r="A37" s="1">
        <v>1</v>
      </c>
      <c r="B37" s="1">
        <v>0</v>
      </c>
      <c r="C37" s="2">
        <f t="shared" si="0"/>
        <v>0.21428571428571427</v>
      </c>
      <c r="D37" s="2">
        <v>0</v>
      </c>
      <c r="E37" s="2">
        <v>1</v>
      </c>
      <c r="F37" s="1">
        <v>0</v>
      </c>
      <c r="G37" s="1">
        <v>0</v>
      </c>
      <c r="H37" s="2">
        <f>(E26-$M$34)/($M$33-$M$34)</f>
        <v>0.5</v>
      </c>
      <c r="L37" t="s">
        <v>62</v>
      </c>
      <c r="M37">
        <f>MIN(D24:D29)</f>
        <v>1</v>
      </c>
    </row>
    <row r="38" spans="1:17" x14ac:dyDescent="0.25">
      <c r="A38" s="1">
        <v>0</v>
      </c>
      <c r="B38" s="1">
        <v>1</v>
      </c>
      <c r="C38" s="2">
        <f t="shared" si="0"/>
        <v>5.3571428571428568E-2</v>
      </c>
      <c r="D38" s="2">
        <v>0</v>
      </c>
      <c r="E38" s="2">
        <v>0</v>
      </c>
      <c r="F38" s="1">
        <v>1</v>
      </c>
      <c r="G38" s="1">
        <v>0</v>
      </c>
      <c r="H38" s="2">
        <f t="shared" ref="H38:H40" si="1">(E27-$M$34)/($M$33-$M$34)</f>
        <v>1</v>
      </c>
    </row>
    <row r="39" spans="1:17" x14ac:dyDescent="0.25">
      <c r="A39" s="1">
        <v>1</v>
      </c>
      <c r="B39" s="1">
        <v>0</v>
      </c>
      <c r="C39" s="2">
        <f t="shared" si="0"/>
        <v>0.4107142857142857</v>
      </c>
      <c r="D39" s="2">
        <v>0</v>
      </c>
      <c r="E39" s="2">
        <v>0</v>
      </c>
      <c r="F39" s="1">
        <v>0</v>
      </c>
      <c r="G39" s="1">
        <v>1</v>
      </c>
      <c r="H39" s="2">
        <f t="shared" si="1"/>
        <v>0</v>
      </c>
      <c r="L39" t="s">
        <v>12</v>
      </c>
      <c r="M39">
        <f>MAX(C24:C29)</f>
        <v>65</v>
      </c>
    </row>
    <row r="40" spans="1:17" x14ac:dyDescent="0.25">
      <c r="A40" s="1">
        <v>0</v>
      </c>
      <c r="B40" s="1">
        <v>1</v>
      </c>
      <c r="C40" s="2">
        <f t="shared" si="0"/>
        <v>0</v>
      </c>
      <c r="D40" s="2">
        <v>0</v>
      </c>
      <c r="E40" s="2">
        <v>0</v>
      </c>
      <c r="F40" s="1">
        <v>1</v>
      </c>
      <c r="G40" s="1">
        <v>0</v>
      </c>
      <c r="H40" s="2">
        <f t="shared" si="1"/>
        <v>1</v>
      </c>
      <c r="L40" t="s">
        <v>13</v>
      </c>
      <c r="M40">
        <f>MIN(C24:C29)</f>
        <v>9</v>
      </c>
    </row>
    <row r="43" spans="1:17" x14ac:dyDescent="0.25">
      <c r="A43" s="20" t="s">
        <v>63</v>
      </c>
      <c r="B43" s="20"/>
      <c r="C43" s="20"/>
      <c r="D43" s="20"/>
    </row>
    <row r="44" spans="1:17" x14ac:dyDescent="0.25">
      <c r="B44" s="4" t="s">
        <v>35</v>
      </c>
      <c r="C44" s="4" t="s">
        <v>36</v>
      </c>
      <c r="D44" s="4" t="s">
        <v>1</v>
      </c>
      <c r="E44" s="4" t="s">
        <v>64</v>
      </c>
      <c r="F44" s="3" t="s">
        <v>65</v>
      </c>
      <c r="G44" s="3" t="s">
        <v>66</v>
      </c>
      <c r="H44" s="3" t="s">
        <v>67</v>
      </c>
      <c r="I44" s="3" t="s">
        <v>41</v>
      </c>
      <c r="M44" t="s">
        <v>20</v>
      </c>
      <c r="N44">
        <f>AVERAGE(C24:C29)</f>
        <v>27.5</v>
      </c>
      <c r="P44" t="s">
        <v>76</v>
      </c>
      <c r="Q44">
        <f>AVERAGE(E24:E29)</f>
        <v>1.1666666666666667</v>
      </c>
    </row>
    <row r="45" spans="1:17" x14ac:dyDescent="0.25">
      <c r="B45" s="1">
        <f>(A35-$Q$53)/$Q$54</f>
        <v>1</v>
      </c>
      <c r="C45" s="1">
        <f>(B35-$Q$56)/$Q$57</f>
        <v>-1</v>
      </c>
      <c r="D45" s="2">
        <f>(C24-$N$44)/$N$45</f>
        <v>2.0270270270270272</v>
      </c>
      <c r="E45" s="2">
        <f t="shared" ref="E45:E50" si="2">(D35-$N$47)/$N$48</f>
        <v>2.2360679774997898</v>
      </c>
      <c r="F45" s="2">
        <f>(E35-$N$50)/$N$51</f>
        <v>-0.44721359549995793</v>
      </c>
      <c r="G45" s="2">
        <f>(F35-$N$53)/$N$54</f>
        <v>-0.70710678118654746</v>
      </c>
      <c r="H45" s="2">
        <f>(G35-$N$56)/$N$57</f>
        <v>-0.70710678118654746</v>
      </c>
      <c r="I45" s="2">
        <f>(E24-$Q$44)/$Q$45</f>
        <v>-1.2998673672393632</v>
      </c>
      <c r="M45" t="s">
        <v>24</v>
      </c>
      <c r="N45">
        <f>_xlfn.STDEV.P(C24:C29)</f>
        <v>18.5</v>
      </c>
      <c r="P45" t="s">
        <v>77</v>
      </c>
      <c r="Q45">
        <f>_xlfn.STDEV.P(E24:E29)</f>
        <v>0.89752746785575066</v>
      </c>
    </row>
    <row r="46" spans="1:17" x14ac:dyDescent="0.25">
      <c r="B46" s="1">
        <f t="shared" ref="B46:B50" si="3">(A36-$Q$53)/$Q$54</f>
        <v>-1</v>
      </c>
      <c r="C46" s="1">
        <f t="shared" ref="C46:C50" si="4">(B36-$Q$56)/$Q$57</f>
        <v>1</v>
      </c>
      <c r="D46" s="2">
        <f t="shared" ref="D46:D50" si="5">(C25-$N$44)/$N$45</f>
        <v>-8.1081081081081086E-2</v>
      </c>
      <c r="E46" s="2">
        <f t="shared" si="2"/>
        <v>-0.44721359549995793</v>
      </c>
      <c r="F46" s="2">
        <f t="shared" ref="F46:F50" si="6">(E36-$N$50)/$N$51</f>
        <v>-0.44721359549995793</v>
      </c>
      <c r="G46" s="2">
        <f t="shared" ref="G46:G50" si="7">(F36-$N$53)/$N$54</f>
        <v>-0.70710678118654746</v>
      </c>
      <c r="H46" s="2">
        <f t="shared" ref="H46:H50" si="8">(G36-$N$56)/$N$57</f>
        <v>1.4142135623730951</v>
      </c>
      <c r="I46" s="2">
        <f>(E25-$Q$44)/$Q$45</f>
        <v>0.92847669088525919</v>
      </c>
    </row>
    <row r="47" spans="1:17" x14ac:dyDescent="0.25">
      <c r="B47" s="1">
        <f t="shared" si="3"/>
        <v>1</v>
      </c>
      <c r="C47" s="1">
        <f t="shared" si="4"/>
        <v>-1</v>
      </c>
      <c r="D47" s="2">
        <f t="shared" si="5"/>
        <v>-0.35135135135135137</v>
      </c>
      <c r="E47" s="2">
        <f t="shared" si="2"/>
        <v>-0.44721359549995793</v>
      </c>
      <c r="F47" s="2">
        <f t="shared" si="6"/>
        <v>2.2360679774997898</v>
      </c>
      <c r="G47" s="2">
        <f t="shared" si="7"/>
        <v>-0.70710678118654746</v>
      </c>
      <c r="H47" s="2">
        <f t="shared" si="8"/>
        <v>-0.70710678118654746</v>
      </c>
      <c r="I47" s="2">
        <f>(E26-$Q$44)/$Q$45</f>
        <v>-0.18569533817705194</v>
      </c>
      <c r="M47" t="s">
        <v>68</v>
      </c>
      <c r="N47">
        <f>AVERAGE(D35:D40)</f>
        <v>0.16666666666666666</v>
      </c>
    </row>
    <row r="48" spans="1:17" x14ac:dyDescent="0.25">
      <c r="B48" s="1">
        <f t="shared" si="3"/>
        <v>-1</v>
      </c>
      <c r="C48" s="1">
        <f t="shared" si="4"/>
        <v>1</v>
      </c>
      <c r="D48" s="2">
        <f t="shared" si="5"/>
        <v>-0.83783783783783783</v>
      </c>
      <c r="E48" s="2">
        <f t="shared" si="2"/>
        <v>-0.44721359549995793</v>
      </c>
      <c r="F48" s="2">
        <f t="shared" si="6"/>
        <v>-0.44721359549995793</v>
      </c>
      <c r="G48" s="2">
        <f t="shared" si="7"/>
        <v>1.4142135623730951</v>
      </c>
      <c r="H48" s="2">
        <f t="shared" si="8"/>
        <v>-0.70710678118654746</v>
      </c>
      <c r="I48" s="2">
        <f>(E27-$Q$44)/$Q$45</f>
        <v>0.92847669088525919</v>
      </c>
      <c r="M48" t="s">
        <v>69</v>
      </c>
      <c r="N48">
        <f>_xlfn.STDEV.P(D35:D40)</f>
        <v>0.37267799624996495</v>
      </c>
    </row>
    <row r="49" spans="1:17" x14ac:dyDescent="0.25">
      <c r="B49" s="1">
        <f t="shared" si="3"/>
        <v>1</v>
      </c>
      <c r="C49" s="1">
        <f t="shared" si="4"/>
        <v>-1</v>
      </c>
      <c r="D49" s="2">
        <f t="shared" si="5"/>
        <v>0.24324324324324326</v>
      </c>
      <c r="E49" s="2">
        <f t="shared" si="2"/>
        <v>-0.44721359549995793</v>
      </c>
      <c r="F49" s="2">
        <f t="shared" si="6"/>
        <v>-0.44721359549995793</v>
      </c>
      <c r="G49" s="2">
        <f t="shared" si="7"/>
        <v>-0.70710678118654746</v>
      </c>
      <c r="H49" s="2">
        <f t="shared" si="8"/>
        <v>1.4142135623730951</v>
      </c>
      <c r="I49" s="2">
        <f t="shared" ref="I49" si="9">(E28-$Q$44)/$Q$45</f>
        <v>-1.2998673672393632</v>
      </c>
    </row>
    <row r="50" spans="1:17" ht="15.75" thickBot="1" x14ac:dyDescent="0.3">
      <c r="B50" s="1">
        <f t="shared" si="3"/>
        <v>-1</v>
      </c>
      <c r="C50" s="1">
        <f t="shared" si="4"/>
        <v>1</v>
      </c>
      <c r="D50" s="8">
        <f t="shared" si="5"/>
        <v>-1</v>
      </c>
      <c r="E50" s="2">
        <f t="shared" si="2"/>
        <v>-0.44721359549995793</v>
      </c>
      <c r="F50" s="2">
        <f t="shared" si="6"/>
        <v>-0.44721359549995793</v>
      </c>
      <c r="G50" s="2">
        <f t="shared" si="7"/>
        <v>1.4142135623730951</v>
      </c>
      <c r="H50" s="2">
        <f t="shared" si="8"/>
        <v>-0.70710678118654746</v>
      </c>
      <c r="I50" s="2">
        <f>(E29-$Q$44)/$Q$45</f>
        <v>0.92847669088525919</v>
      </c>
      <c r="M50" t="s">
        <v>70</v>
      </c>
      <c r="N50">
        <f>AVERAGE(E35:E40)</f>
        <v>0.16666666666666666</v>
      </c>
    </row>
    <row r="51" spans="1:17" ht="15.75" thickBot="1" x14ac:dyDescent="0.3">
      <c r="A51" s="7" t="s">
        <v>22</v>
      </c>
      <c r="B51" s="18">
        <f>AVERAGE(B45:B50)</f>
        <v>0</v>
      </c>
      <c r="C51" s="18">
        <f>AVERAGE(C45:C50)</f>
        <v>0</v>
      </c>
      <c r="D51" s="15">
        <f>AVERAGE(D45:D50)</f>
        <v>0</v>
      </c>
      <c r="E51" s="15">
        <f>AVERAGE(E45:E50)</f>
        <v>0</v>
      </c>
      <c r="F51" s="15">
        <f t="shared" ref="F51:H51" si="10">AVERAGE(F45:F50)</f>
        <v>0</v>
      </c>
      <c r="G51" s="15">
        <f t="shared" si="10"/>
        <v>0</v>
      </c>
      <c r="H51" s="15">
        <f t="shared" si="10"/>
        <v>0</v>
      </c>
      <c r="I51" s="15">
        <f>ROUND(AVERAGE(I45:I50),10)</f>
        <v>0</v>
      </c>
      <c r="M51" t="s">
        <v>72</v>
      </c>
      <c r="N51">
        <f>_xlfn.STDEV.P(E35:E40)</f>
        <v>0.37267799624996495</v>
      </c>
    </row>
    <row r="52" spans="1:17" ht="15.75" thickBot="1" x14ac:dyDescent="0.3">
      <c r="A52" s="7" t="s">
        <v>52</v>
      </c>
      <c r="B52" s="17">
        <f>_xlfn.STDEV.P(B45:B50)</f>
        <v>1</v>
      </c>
      <c r="C52" s="17">
        <f>_xlfn.STDEV.P(C45:C50)</f>
        <v>1</v>
      </c>
      <c r="D52" s="16">
        <f>_xlfn.STDEV.P(D45:D50)</f>
        <v>1</v>
      </c>
      <c r="E52" s="16">
        <f>_xlfn.STDEV.P(E45:E50)</f>
        <v>1.0000000000000002</v>
      </c>
      <c r="F52" s="16">
        <f t="shared" ref="F52:I52" si="11">_xlfn.STDEV.P(F45:F50)</f>
        <v>1.0000000000000002</v>
      </c>
      <c r="G52" s="16">
        <f t="shared" si="11"/>
        <v>1</v>
      </c>
      <c r="H52" s="16">
        <f t="shared" si="11"/>
        <v>1</v>
      </c>
      <c r="I52" s="16">
        <f t="shared" si="11"/>
        <v>1</v>
      </c>
    </row>
    <row r="53" spans="1:17" x14ac:dyDescent="0.25">
      <c r="M53" t="s">
        <v>71</v>
      </c>
      <c r="N53">
        <f>AVERAGE(F35:F40)</f>
        <v>0.33333333333333331</v>
      </c>
      <c r="P53" t="s">
        <v>78</v>
      </c>
      <c r="Q53">
        <f>AVERAGE(A35:A40)</f>
        <v>0.5</v>
      </c>
    </row>
    <row r="54" spans="1:17" x14ac:dyDescent="0.25">
      <c r="M54" t="s">
        <v>73</v>
      </c>
      <c r="N54">
        <f>_xlfn.STDEV.P(F35:F40)</f>
        <v>0.47140452079103168</v>
      </c>
      <c r="P54" t="s">
        <v>79</v>
      </c>
      <c r="Q54">
        <f>_xlfn.STDEV.P(A35:A40)</f>
        <v>0.5</v>
      </c>
    </row>
    <row r="56" spans="1:17" x14ac:dyDescent="0.25">
      <c r="M56" t="s">
        <v>74</v>
      </c>
      <c r="N56">
        <f>AVERAGE(G35:G40)</f>
        <v>0.33333333333333331</v>
      </c>
      <c r="P56" t="s">
        <v>80</v>
      </c>
      <c r="Q56">
        <f>AVERAGE(B35:B40)</f>
        <v>0.5</v>
      </c>
    </row>
    <row r="57" spans="1:17" x14ac:dyDescent="0.25">
      <c r="M57" t="s">
        <v>75</v>
      </c>
      <c r="N57">
        <f>_xlfn.STDEV.P(G35:G40)</f>
        <v>0.47140452079103168</v>
      </c>
      <c r="P57" t="s">
        <v>81</v>
      </c>
      <c r="Q57">
        <f>_xlfn.STDEV.P(B35:B40)</f>
        <v>0.5</v>
      </c>
    </row>
  </sheetData>
  <mergeCells count="7">
    <mergeCell ref="A33:D33"/>
    <mergeCell ref="A43:D43"/>
    <mergeCell ref="A14:G14"/>
    <mergeCell ref="A10:G10"/>
    <mergeCell ref="A11:G11"/>
    <mergeCell ref="A12:G12"/>
    <mergeCell ref="A13:G13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2EED-E2D9-40C2-8115-4DD7CCEB5A9D}">
  <dimension ref="A1"/>
  <sheetViews>
    <sheetView workbookViewId="0">
      <selection sqref="A1:D7"/>
    </sheetView>
  </sheetViews>
  <sheetFormatPr baseColWidth="10" defaultRowHeight="15" x14ac:dyDescent="0.25"/>
  <cols>
    <col min="1" max="1" width="5.140625" bestFit="1" customWidth="1"/>
    <col min="2" max="2" width="5.42578125" bestFit="1" customWidth="1"/>
    <col min="3" max="3" width="8" bestFit="1" customWidth="1"/>
    <col min="4" max="4" width="15.8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</vt:lpstr>
      <vt:lpstr>EjercicioPropuesto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2026-05-06T19:59:29Z</dcterms:modified>
</cp:coreProperties>
</file>